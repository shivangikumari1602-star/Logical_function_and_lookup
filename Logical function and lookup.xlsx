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ADD81C4C4F9A66/Documents/"/>
    </mc:Choice>
  </mc:AlternateContent>
  <xr:revisionPtr revIDLastSave="0" documentId="8_{F9157960-693C-4D8E-A240-0EB8515A2FC3}" xr6:coauthVersionLast="47" xr6:coauthVersionMax="47" xr10:uidLastSave="{00000000-0000-0000-0000-000000000000}"/>
  <bookViews>
    <workbookView xWindow="-108" yWindow="-108" windowWidth="23256" windowHeight="12456" xr2:uid="{C73240AD-E1D1-453B-8CEA-6B7D45495017}"/>
  </bookViews>
  <sheets>
    <sheet name="Ans.1" sheetId="1" r:id="rId1"/>
    <sheet name="Ans.2" sheetId="2" r:id="rId2"/>
    <sheet name="Ans.3" sheetId="3" r:id="rId3"/>
    <sheet name="Ans.4" sheetId="4" r:id="rId4"/>
    <sheet name="Ans.5" sheetId="5" r:id="rId5"/>
    <sheet name="Ans.6" sheetId="6" r:id="rId6"/>
    <sheet name="Ans.7" sheetId="7" r:id="rId7"/>
    <sheet name="Ans.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8" l="1"/>
  <c r="D5" i="7"/>
  <c r="D7" i="5"/>
  <c r="E6" i="2"/>
  <c r="D6" i="1"/>
  <c r="E8" i="6"/>
  <c r="E9" i="6"/>
  <c r="E7" i="6"/>
  <c r="D8" i="3"/>
  <c r="D9" i="3"/>
  <c r="D10" i="3"/>
  <c r="D11" i="3"/>
  <c r="D7" i="3"/>
  <c r="E7" i="4"/>
  <c r="E7" i="2" l="1"/>
  <c r="E8" i="2"/>
  <c r="E9" i="2"/>
  <c r="D7" i="1" l="1"/>
  <c r="D8" i="1"/>
  <c r="D9" i="1"/>
  <c r="D10" i="1"/>
</calcChain>
</file>

<file path=xl/sharedStrings.xml><?xml version="1.0" encoding="utf-8"?>
<sst xmlns="http://schemas.openxmlformats.org/spreadsheetml/2006/main" count="85" uniqueCount="61">
  <si>
    <t>1.  Write a formula to check if the marks in cell B2 are greater than or equal to 40. if yes, return "Pass", otherwise "Fail".</t>
  </si>
  <si>
    <t>Student Name</t>
  </si>
  <si>
    <t>Marks</t>
  </si>
  <si>
    <t>Result</t>
  </si>
  <si>
    <t>Riya</t>
  </si>
  <si>
    <t xml:space="preserve">Siya </t>
  </si>
  <si>
    <t>Raju</t>
  </si>
  <si>
    <t>Rahul</t>
  </si>
  <si>
    <t>Ram</t>
  </si>
  <si>
    <t>2.  A company gives a bonus if sales are above 40,000 and attendance is greter than or equal to 90%. Write a formula to calculate whether the employee will get a bonus or not.</t>
  </si>
  <si>
    <t>Employee</t>
  </si>
  <si>
    <t>Sales</t>
  </si>
  <si>
    <t>Attendance</t>
  </si>
  <si>
    <t>Arjun</t>
  </si>
  <si>
    <t>Simran</t>
  </si>
  <si>
    <t>Rohit</t>
  </si>
  <si>
    <t>Anjali</t>
  </si>
  <si>
    <t>3. Write a nested IF formula : if marks in B2 are ≥ 90 → "A",  ≥ 75 → "B" , ≥ 50 → "C", otherwise "Fail".</t>
  </si>
  <si>
    <t xml:space="preserve">Raj </t>
  </si>
  <si>
    <t>Neha</t>
  </si>
  <si>
    <t>Vivek</t>
  </si>
  <si>
    <t>Rani</t>
  </si>
  <si>
    <t>sneha</t>
  </si>
  <si>
    <t>4.  Find the Department of Employee ID = E103. Also explain which LOOKUP function is used and why?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</si>
  <si>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</si>
  <si>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</si>
  <si>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</si>
  <si>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</si>
  <si>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</si>
  <si>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</si>
  <si>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</si>
  <si>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</si>
  <si>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</si>
  <si>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</si>
  <si>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</si>
  <si>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</si>
  <si>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Ans.</t>
  </si>
  <si>
    <t>The Department of EmpID E103 is Finance</t>
  </si>
  <si>
    <t>Explaination.</t>
  </si>
  <si>
    <t>We used VLOOKUP function , because this funtion work for vertically arrange data and we are searching a vertical value.</t>
  </si>
  <si>
    <t>5.  A company has set the following Commission structure for its sales team: if a salesperson achieves sales of ₹45,000, use the VLOOKUP function to determine the commission rate applicable.</t>
  </si>
  <si>
    <t>Sales Amount</t>
  </si>
  <si>
    <t>Commission Rate</t>
  </si>
  <si>
    <t xml:space="preserve">Ans. </t>
  </si>
  <si>
    <t>Commission rate = 10%</t>
  </si>
  <si>
    <t xml:space="preserve">6.  The  HR department maintains the following leave records of employees: write an IF function to check whether an employee has Exceeded their allowed leave balance.  If Leaves Taken &gt; Allowed Leaves, display "Exceeded". Otherwise, display "OK". </t>
  </si>
  <si>
    <t>Employee Name</t>
  </si>
  <si>
    <t>Leaves Taken</t>
  </si>
  <si>
    <t>Leaves Allowed</t>
  </si>
  <si>
    <t>Alex</t>
  </si>
  <si>
    <t>Bob</t>
  </si>
  <si>
    <t>Anna</t>
  </si>
  <si>
    <t>7.  Find the salary of EmpID = E105 using INDEX - MATCH function.</t>
  </si>
  <si>
    <t>Salary</t>
  </si>
  <si>
    <t>E105</t>
  </si>
  <si>
    <t>E106</t>
  </si>
  <si>
    <r>
      <rPr>
        <b/>
        <sz val="11"/>
        <color rgb="FFFF0000"/>
        <rFont val="Calibri"/>
        <family val="2"/>
        <scheme val="minor"/>
      </rPr>
      <t>Ans</t>
    </r>
    <r>
      <rPr>
        <b/>
        <sz val="11"/>
        <color theme="1"/>
        <rFont val="Calibri"/>
        <family val="2"/>
        <scheme val="minor"/>
      </rPr>
      <t>.        Salary of EmpID - E105 = 72000</t>
    </r>
  </si>
  <si>
    <t>8.  Use the XLOOKUP function to find the Department of the employee with Emp ID = E303.</t>
  </si>
  <si>
    <t>E303</t>
  </si>
  <si>
    <t>E301</t>
  </si>
  <si>
    <t>Emp ID - 303  -  IT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</si>
</sst>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top"/>
    </xf>
    <xf numFmtId="0" fontId="0" fillId="0" borderId="1" xfId="0" applyBorder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0" borderId="1" xfId="0" applyFont="1" applyBorder="1"/>
    <xf numFmtId="9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9" fontId="0" fillId="0" borderId="1" xfId="0" applyNumberFormat="1" applyBorder="1" applyAlignment="1">
      <alignment horizontal="center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F504-A34E-477C-B2AC-D4BB77DC11BA}">
  <dimension ref="B2:N10"/>
  <sheetViews>
    <sheetView tabSelected="1" zoomScale="92" workbookViewId="0">
      <selection activeCell="D6" sqref="D6"/>
    </sheetView>
  </sheetViews>
  <sheetFormatPr defaultRowHeight="14.4" x14ac:dyDescent="0.3"/>
  <cols>
    <col min="2" max="2" width="13.44140625" bestFit="1" customWidth="1"/>
    <col min="4" max="4" width="13.109375" bestFit="1" customWidth="1"/>
    <col min="8" max="8" width="3.6640625" customWidth="1"/>
    <col min="9" max="10" width="8.88671875" hidden="1" customWidth="1"/>
    <col min="11" max="11" width="7.6640625" hidden="1" customWidth="1"/>
    <col min="12" max="14" width="8.88671875" hidden="1" customWidth="1"/>
  </cols>
  <sheetData>
    <row r="2" spans="2:12" ht="14.4" customHeight="1" x14ac:dyDescent="0.3">
      <c r="B2" s="22" t="s">
        <v>0</v>
      </c>
      <c r="C2" s="22"/>
      <c r="D2" s="22"/>
      <c r="E2" s="22"/>
      <c r="F2" s="22"/>
      <c r="G2" s="5"/>
      <c r="H2" s="5"/>
      <c r="I2" s="5"/>
      <c r="J2" s="5"/>
      <c r="K2" s="5"/>
      <c r="L2" s="5"/>
    </row>
    <row r="3" spans="2:12" x14ac:dyDescent="0.3">
      <c r="B3" s="22"/>
      <c r="C3" s="22"/>
      <c r="D3" s="22"/>
      <c r="E3" s="22"/>
      <c r="F3" s="22"/>
      <c r="G3" s="5"/>
      <c r="H3" s="5"/>
      <c r="I3" s="5"/>
      <c r="J3" s="5"/>
      <c r="K3" s="5"/>
      <c r="L3" s="5"/>
    </row>
    <row r="5" spans="2:12" x14ac:dyDescent="0.3">
      <c r="B5" s="8" t="s">
        <v>1</v>
      </c>
      <c r="C5" s="9" t="s">
        <v>2</v>
      </c>
      <c r="D5" s="10" t="s">
        <v>3</v>
      </c>
    </row>
    <row r="6" spans="2:12" x14ac:dyDescent="0.3">
      <c r="B6" s="4" t="s">
        <v>4</v>
      </c>
      <c r="C6" s="11">
        <v>45</v>
      </c>
      <c r="D6" s="16" t="str">
        <f>IF(C6&gt;=40, "Pass", "Fail")</f>
        <v>Pass</v>
      </c>
    </row>
    <row r="7" spans="2:12" x14ac:dyDescent="0.3">
      <c r="B7" s="4" t="s">
        <v>5</v>
      </c>
      <c r="C7" s="11">
        <v>72</v>
      </c>
      <c r="D7" s="16" t="str">
        <f t="shared" ref="D7:D10" si="0">IF(C7&gt;=40, "Pass", "Fail")</f>
        <v>Pass</v>
      </c>
    </row>
    <row r="8" spans="2:12" x14ac:dyDescent="0.3">
      <c r="B8" s="4" t="s">
        <v>6</v>
      </c>
      <c r="C8" s="11">
        <v>55</v>
      </c>
      <c r="D8" s="16" t="str">
        <f t="shared" si="0"/>
        <v>Pass</v>
      </c>
    </row>
    <row r="9" spans="2:12" x14ac:dyDescent="0.3">
      <c r="B9" s="4" t="s">
        <v>7</v>
      </c>
      <c r="C9" s="11">
        <v>80</v>
      </c>
      <c r="D9" s="16" t="str">
        <f t="shared" si="0"/>
        <v>Pass</v>
      </c>
    </row>
    <row r="10" spans="2:12" x14ac:dyDescent="0.3">
      <c r="B10" s="4" t="s">
        <v>8</v>
      </c>
      <c r="C10" s="11">
        <v>30</v>
      </c>
      <c r="D10" s="16" t="str">
        <f t="shared" si="0"/>
        <v>Fail</v>
      </c>
    </row>
  </sheetData>
  <mergeCells count="1">
    <mergeCell ref="B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0ABD-5D1B-4758-9389-BC04A77465E1}">
  <dimension ref="B2:M9"/>
  <sheetViews>
    <sheetView workbookViewId="0">
      <selection activeCell="E6" sqref="E6"/>
    </sheetView>
  </sheetViews>
  <sheetFormatPr defaultRowHeight="14.4" x14ac:dyDescent="0.3"/>
  <cols>
    <col min="2" max="2" width="9.33203125" bestFit="1" customWidth="1"/>
    <col min="3" max="3" width="6" bestFit="1" customWidth="1"/>
    <col min="4" max="4" width="10.6640625" bestFit="1" customWidth="1"/>
    <col min="5" max="5" width="8.88671875" bestFit="1" customWidth="1"/>
    <col min="9" max="9" width="4.5546875" customWidth="1"/>
    <col min="10" max="10" width="8.88671875" hidden="1" customWidth="1"/>
    <col min="11" max="11" width="21.33203125" hidden="1" customWidth="1"/>
  </cols>
  <sheetData>
    <row r="2" spans="2:13" x14ac:dyDescent="0.3">
      <c r="B2" s="22" t="s">
        <v>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2:13" x14ac:dyDescent="0.3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2:13" x14ac:dyDescent="0.3">
      <c r="B4" s="3"/>
      <c r="C4" s="3"/>
      <c r="D4" s="3"/>
      <c r="E4" s="3"/>
      <c r="F4" s="3"/>
      <c r="G4" s="3"/>
      <c r="H4" s="3"/>
      <c r="I4" s="3"/>
      <c r="J4" s="3"/>
      <c r="K4" s="3"/>
    </row>
    <row r="5" spans="2:13" x14ac:dyDescent="0.3">
      <c r="B5" s="8" t="s">
        <v>10</v>
      </c>
      <c r="C5" s="9" t="s">
        <v>11</v>
      </c>
      <c r="D5" s="9" t="s">
        <v>12</v>
      </c>
      <c r="E5" s="13" t="s">
        <v>3</v>
      </c>
    </row>
    <row r="6" spans="2:13" x14ac:dyDescent="0.3">
      <c r="B6" s="4" t="s">
        <v>13</v>
      </c>
      <c r="C6" s="11">
        <v>55000</v>
      </c>
      <c r="D6" s="11">
        <v>95</v>
      </c>
      <c r="E6" s="12" t="str">
        <f>IF(AND(C6&gt;40000, D6&gt;=90), "Bonus", "No Bonus")</f>
        <v>Bonus</v>
      </c>
    </row>
    <row r="7" spans="2:13" x14ac:dyDescent="0.3">
      <c r="B7" s="4" t="s">
        <v>14</v>
      </c>
      <c r="C7" s="11">
        <v>65000</v>
      </c>
      <c r="D7" s="11">
        <v>85</v>
      </c>
      <c r="E7" s="12" t="str">
        <f t="shared" ref="E7:E9" si="0">IF(AND(C7&gt;40000, D7&gt;=90), "Bonus", "No Bonus")</f>
        <v>No Bonus</v>
      </c>
    </row>
    <row r="8" spans="2:13" x14ac:dyDescent="0.3">
      <c r="B8" s="4" t="s">
        <v>15</v>
      </c>
      <c r="C8" s="11">
        <v>30000</v>
      </c>
      <c r="D8" s="11">
        <v>90</v>
      </c>
      <c r="E8" s="12" t="str">
        <f t="shared" si="0"/>
        <v>No Bonus</v>
      </c>
    </row>
    <row r="9" spans="2:13" x14ac:dyDescent="0.3">
      <c r="B9" s="4" t="s">
        <v>16</v>
      </c>
      <c r="C9" s="11">
        <v>25000</v>
      </c>
      <c r="D9" s="11">
        <v>65</v>
      </c>
      <c r="E9" s="12" t="str">
        <f t="shared" si="0"/>
        <v>No Bonus</v>
      </c>
    </row>
  </sheetData>
  <mergeCells count="1">
    <mergeCell ref="B2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C07A-999D-46F9-85A2-56CB9FF298B8}">
  <dimension ref="B2:K11"/>
  <sheetViews>
    <sheetView workbookViewId="0">
      <selection activeCell="J12" sqref="J12"/>
    </sheetView>
  </sheetViews>
  <sheetFormatPr defaultRowHeight="14.4" x14ac:dyDescent="0.3"/>
  <cols>
    <col min="1" max="1" width="8.88671875" customWidth="1"/>
    <col min="2" max="2" width="12.5546875" bestFit="1" customWidth="1"/>
    <col min="4" max="4" width="12.88671875" bestFit="1" customWidth="1"/>
    <col min="5" max="6" width="8.88671875" hidden="1" customWidth="1"/>
    <col min="7" max="7" width="8.33203125" hidden="1" customWidth="1"/>
    <col min="8" max="8" width="8.88671875" hidden="1" customWidth="1"/>
    <col min="9" max="9" width="6.33203125" bestFit="1" customWidth="1"/>
    <col min="10" max="10" width="6.109375" bestFit="1" customWidth="1"/>
    <col min="11" max="11" width="14.6640625" customWidth="1"/>
  </cols>
  <sheetData>
    <row r="2" spans="2:11" x14ac:dyDescent="0.3">
      <c r="B2" s="22" t="s">
        <v>17</v>
      </c>
      <c r="C2" s="22"/>
      <c r="D2" s="22"/>
      <c r="E2" s="22"/>
      <c r="F2" s="22"/>
      <c r="G2" s="22"/>
      <c r="H2" s="22"/>
      <c r="I2" s="22"/>
    </row>
    <row r="3" spans="2:11" x14ac:dyDescent="0.3">
      <c r="B3" s="22"/>
      <c r="C3" s="22"/>
      <c r="D3" s="22"/>
      <c r="E3" s="22"/>
      <c r="F3" s="22"/>
      <c r="G3" s="22"/>
      <c r="H3" s="22"/>
      <c r="I3" s="22"/>
    </row>
    <row r="4" spans="2:11" x14ac:dyDescent="0.3">
      <c r="B4" s="22"/>
      <c r="C4" s="22"/>
      <c r="D4" s="22"/>
      <c r="E4" s="22"/>
      <c r="F4" s="22"/>
      <c r="G4" s="22"/>
      <c r="H4" s="22"/>
      <c r="I4" s="22"/>
    </row>
    <row r="5" spans="2:11" x14ac:dyDescent="0.3">
      <c r="K5" s="2"/>
    </row>
    <row r="6" spans="2:11" x14ac:dyDescent="0.3">
      <c r="B6" s="8" t="s">
        <v>1</v>
      </c>
      <c r="C6" s="8" t="s">
        <v>2</v>
      </c>
      <c r="D6" s="13" t="s">
        <v>3</v>
      </c>
    </row>
    <row r="7" spans="2:11" x14ac:dyDescent="0.3">
      <c r="B7" s="4" t="s">
        <v>18</v>
      </c>
      <c r="C7" s="11">
        <v>85</v>
      </c>
      <c r="D7" s="12" t="str">
        <f>IF(C7&gt;=90,"A",IF(C7&gt;=75,"B",IF(C7&gt;=50,"C","Fail")))</f>
        <v>B</v>
      </c>
      <c r="E7" s="2"/>
      <c r="F7" s="2"/>
      <c r="G7" s="2"/>
      <c r="H7" s="2"/>
      <c r="I7" s="21"/>
      <c r="J7" s="6"/>
    </row>
    <row r="8" spans="2:11" x14ac:dyDescent="0.3">
      <c r="B8" s="4" t="s">
        <v>19</v>
      </c>
      <c r="C8" s="11">
        <v>96</v>
      </c>
      <c r="D8" s="12" t="str">
        <f t="shared" ref="D8:D11" si="0">IF(C8&gt;=90,"A",IF(C8&gt;=75,"B",IF(C8&gt;=50,"C","Fail")))</f>
        <v>A</v>
      </c>
    </row>
    <row r="9" spans="2:11" x14ac:dyDescent="0.3">
      <c r="B9" s="4" t="s">
        <v>20</v>
      </c>
      <c r="C9" s="11">
        <v>57</v>
      </c>
      <c r="D9" s="12" t="str">
        <f t="shared" si="0"/>
        <v>C</v>
      </c>
    </row>
    <row r="10" spans="2:11" x14ac:dyDescent="0.3">
      <c r="B10" s="4" t="s">
        <v>21</v>
      </c>
      <c r="C10" s="11">
        <v>92</v>
      </c>
      <c r="D10" s="12" t="str">
        <f t="shared" si="0"/>
        <v>A</v>
      </c>
    </row>
    <row r="11" spans="2:11" x14ac:dyDescent="0.3">
      <c r="B11" s="4" t="s">
        <v>22</v>
      </c>
      <c r="C11" s="11">
        <v>75</v>
      </c>
      <c r="D11" s="12" t="str">
        <f t="shared" si="0"/>
        <v>B</v>
      </c>
    </row>
  </sheetData>
  <mergeCells count="1">
    <mergeCell ref="B2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AD7A-EC9B-429E-ADE3-C171B31D842E}">
  <dimension ref="B3:K14"/>
  <sheetViews>
    <sheetView workbookViewId="0">
      <selection activeCell="K9" sqref="K9"/>
    </sheetView>
  </sheetViews>
  <sheetFormatPr defaultRowHeight="14.4" x14ac:dyDescent="0.3"/>
  <cols>
    <col min="2" max="2" width="11.88671875" bestFit="1" customWidth="1"/>
    <col min="4" max="4" width="11.109375" bestFit="1" customWidth="1"/>
    <col min="5" max="5" width="12.33203125" customWidth="1"/>
    <col min="6" max="8" width="8.88671875" hidden="1" customWidth="1"/>
    <col min="9" max="9" width="7.44140625" customWidth="1"/>
    <col min="10" max="10" width="6.44140625" customWidth="1"/>
  </cols>
  <sheetData>
    <row r="3" spans="2:11" ht="14.4" customHeight="1" x14ac:dyDescent="0.3">
      <c r="B3" s="22" t="s">
        <v>23</v>
      </c>
      <c r="C3" s="22"/>
      <c r="D3" s="22"/>
      <c r="E3" s="22"/>
      <c r="F3" s="22"/>
      <c r="G3" s="22"/>
      <c r="H3" s="22"/>
      <c r="I3" s="22"/>
      <c r="J3" s="22"/>
    </row>
    <row r="4" spans="2:11" x14ac:dyDescent="0.3">
      <c r="B4" s="22"/>
      <c r="C4" s="22"/>
      <c r="D4" s="22"/>
      <c r="E4" s="22"/>
      <c r="F4" s="22"/>
      <c r="G4" s="22"/>
      <c r="H4" s="22"/>
      <c r="I4" s="22"/>
      <c r="J4" s="22"/>
    </row>
    <row r="6" spans="2:11" x14ac:dyDescent="0.3">
      <c r="B6" s="8" t="s">
        <v>24</v>
      </c>
      <c r="C6" s="8" t="s">
        <v>25</v>
      </c>
      <c r="D6" s="8" t="s">
        <v>26</v>
      </c>
      <c r="E6" s="17" t="s">
        <v>3</v>
      </c>
    </row>
    <row r="7" spans="2:11" x14ac:dyDescent="0.3">
      <c r="B7" s="4" t="s">
        <v>27</v>
      </c>
      <c r="C7" s="4" t="s">
        <v>6</v>
      </c>
      <c r="D7" s="4" t="s">
        <v>28</v>
      </c>
      <c r="E7" s="16" t="str">
        <f>VLOOKUP(B9,B7:D10,3,)</f>
        <v>Finance</v>
      </c>
    </row>
    <row r="8" spans="2:11" x14ac:dyDescent="0.3">
      <c r="B8" s="4" t="s">
        <v>29</v>
      </c>
      <c r="C8" s="4" t="s">
        <v>4</v>
      </c>
      <c r="D8" s="4" t="s">
        <v>30</v>
      </c>
      <c r="E8" s="11"/>
    </row>
    <row r="9" spans="2:11" x14ac:dyDescent="0.3">
      <c r="B9" s="4" t="s">
        <v>31</v>
      </c>
      <c r="C9" s="4" t="s">
        <v>32</v>
      </c>
      <c r="D9" s="4" t="s">
        <v>33</v>
      </c>
      <c r="E9" s="11"/>
    </row>
    <row r="10" spans="2:11" x14ac:dyDescent="0.3">
      <c r="B10" s="4" t="s">
        <v>34</v>
      </c>
      <c r="C10" s="4" t="s">
        <v>35</v>
      </c>
      <c r="D10" s="4" t="s">
        <v>11</v>
      </c>
      <c r="E10" s="11"/>
    </row>
    <row r="12" spans="2:11" x14ac:dyDescent="0.3">
      <c r="B12" s="6" t="s">
        <v>36</v>
      </c>
      <c r="C12" s="24" t="s">
        <v>37</v>
      </c>
      <c r="D12" s="24"/>
      <c r="E12" s="24"/>
      <c r="F12" s="24"/>
      <c r="G12" s="24"/>
      <c r="H12" s="24"/>
      <c r="I12" s="24"/>
    </row>
    <row r="13" spans="2:11" x14ac:dyDescent="0.3">
      <c r="B13" s="6" t="s">
        <v>38</v>
      </c>
      <c r="C13" s="23" t="s">
        <v>39</v>
      </c>
      <c r="D13" s="23"/>
      <c r="E13" s="23"/>
      <c r="F13" s="23"/>
      <c r="G13" s="23"/>
      <c r="H13" s="23"/>
      <c r="I13" s="23"/>
      <c r="J13" s="23"/>
      <c r="K13" s="23"/>
    </row>
    <row r="14" spans="2:11" x14ac:dyDescent="0.3">
      <c r="C14" s="23"/>
      <c r="D14" s="23"/>
      <c r="E14" s="23"/>
      <c r="F14" s="23"/>
      <c r="G14" s="23"/>
      <c r="H14" s="23"/>
      <c r="I14" s="23"/>
      <c r="J14" s="23"/>
      <c r="K14" s="23"/>
    </row>
  </sheetData>
  <mergeCells count="3">
    <mergeCell ref="B3:J4"/>
    <mergeCell ref="C13:K14"/>
    <mergeCell ref="C12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DB0D-43A0-4483-B2F6-EAF6A2005326}">
  <dimension ref="B2:G13"/>
  <sheetViews>
    <sheetView workbookViewId="0">
      <selection activeCell="F16" sqref="F16"/>
    </sheetView>
  </sheetViews>
  <sheetFormatPr defaultRowHeight="14.4" x14ac:dyDescent="0.3"/>
  <cols>
    <col min="2" max="2" width="12.5546875" bestFit="1" customWidth="1"/>
    <col min="3" max="3" width="15.33203125" bestFit="1" customWidth="1"/>
    <col min="7" max="7" width="5.5546875" customWidth="1"/>
  </cols>
  <sheetData>
    <row r="2" spans="2:7" ht="14.4" customHeight="1" x14ac:dyDescent="0.3">
      <c r="B2" s="22" t="s">
        <v>40</v>
      </c>
      <c r="C2" s="22"/>
      <c r="D2" s="22"/>
      <c r="E2" s="22"/>
      <c r="F2" s="22"/>
      <c r="G2" s="22"/>
    </row>
    <row r="3" spans="2:7" x14ac:dyDescent="0.3">
      <c r="B3" s="22"/>
      <c r="C3" s="22"/>
      <c r="D3" s="22"/>
      <c r="E3" s="22"/>
      <c r="F3" s="22"/>
      <c r="G3" s="22"/>
    </row>
    <row r="4" spans="2:7" x14ac:dyDescent="0.3">
      <c r="B4" s="22"/>
      <c r="C4" s="22"/>
      <c r="D4" s="22"/>
      <c r="E4" s="22"/>
      <c r="F4" s="22"/>
      <c r="G4" s="22"/>
    </row>
    <row r="6" spans="2:7" x14ac:dyDescent="0.3">
      <c r="B6" s="8" t="s">
        <v>41</v>
      </c>
      <c r="C6" s="8" t="s">
        <v>42</v>
      </c>
      <c r="D6" s="9" t="s">
        <v>3</v>
      </c>
    </row>
    <row r="7" spans="2:7" x14ac:dyDescent="0.3">
      <c r="B7" s="11">
        <v>0</v>
      </c>
      <c r="C7" s="18">
        <v>0.05</v>
      </c>
      <c r="D7" s="14">
        <f>VLOOKUP(45000,B6:C10,2,TRUE)</f>
        <v>0.1</v>
      </c>
    </row>
    <row r="8" spans="2:7" x14ac:dyDescent="0.3">
      <c r="B8" s="11">
        <v>20000</v>
      </c>
      <c r="C8" s="18">
        <v>0.1</v>
      </c>
      <c r="D8" s="11"/>
    </row>
    <row r="9" spans="2:7" x14ac:dyDescent="0.3">
      <c r="B9" s="11">
        <v>50000</v>
      </c>
      <c r="C9" s="18">
        <v>0.15</v>
      </c>
      <c r="D9" s="11"/>
    </row>
    <row r="10" spans="2:7" x14ac:dyDescent="0.3">
      <c r="B10" s="11">
        <v>80000</v>
      </c>
      <c r="C10" s="18">
        <v>0.2</v>
      </c>
      <c r="D10" s="11"/>
      <c r="F10" s="19"/>
    </row>
    <row r="12" spans="2:7" x14ac:dyDescent="0.3">
      <c r="B12" s="7" t="s">
        <v>43</v>
      </c>
      <c r="C12" s="25" t="s">
        <v>44</v>
      </c>
      <c r="D12" s="25"/>
      <c r="E12" s="25"/>
    </row>
    <row r="13" spans="2:7" x14ac:dyDescent="0.3">
      <c r="C13" s="25"/>
      <c r="D13" s="25"/>
      <c r="E13" s="25"/>
    </row>
  </sheetData>
  <mergeCells count="2">
    <mergeCell ref="B2:G4"/>
    <mergeCell ref="C12:E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E5BD-1215-4FA2-8206-F30C50DDD9BC}">
  <dimension ref="B2:H9"/>
  <sheetViews>
    <sheetView workbookViewId="0">
      <selection activeCell="E7" sqref="E7"/>
    </sheetView>
  </sheetViews>
  <sheetFormatPr defaultRowHeight="14.4" x14ac:dyDescent="0.3"/>
  <cols>
    <col min="2" max="2" width="14.44140625" bestFit="1" customWidth="1"/>
    <col min="3" max="3" width="11.88671875" bestFit="1" customWidth="1"/>
    <col min="4" max="4" width="13.6640625" bestFit="1" customWidth="1"/>
    <col min="8" max="8" width="18.6640625" customWidth="1"/>
  </cols>
  <sheetData>
    <row r="2" spans="2:8" ht="14.4" customHeight="1" x14ac:dyDescent="0.3">
      <c r="B2" s="26" t="s">
        <v>45</v>
      </c>
      <c r="C2" s="26"/>
      <c r="D2" s="26"/>
      <c r="E2" s="26"/>
      <c r="F2" s="26"/>
      <c r="G2" s="26"/>
      <c r="H2" s="26"/>
    </row>
    <row r="3" spans="2:8" x14ac:dyDescent="0.3">
      <c r="B3" s="26"/>
      <c r="C3" s="26"/>
      <c r="D3" s="26"/>
      <c r="E3" s="26"/>
      <c r="F3" s="26"/>
      <c r="G3" s="26"/>
      <c r="H3" s="26"/>
    </row>
    <row r="4" spans="2:8" x14ac:dyDescent="0.3">
      <c r="B4" s="26"/>
      <c r="C4" s="26"/>
      <c r="D4" s="26"/>
      <c r="E4" s="26"/>
      <c r="F4" s="26"/>
      <c r="G4" s="26"/>
      <c r="H4" s="26"/>
    </row>
    <row r="5" spans="2:8" x14ac:dyDescent="0.3">
      <c r="B5" s="5"/>
      <c r="C5" s="5"/>
      <c r="D5" s="5"/>
      <c r="E5" s="5"/>
      <c r="F5" s="5"/>
      <c r="G5" s="5"/>
      <c r="H5" s="5"/>
    </row>
    <row r="6" spans="2:8" x14ac:dyDescent="0.3">
      <c r="B6" s="8" t="s">
        <v>46</v>
      </c>
      <c r="C6" s="8" t="s">
        <v>47</v>
      </c>
      <c r="D6" s="8" t="s">
        <v>48</v>
      </c>
      <c r="E6" s="10" t="s">
        <v>3</v>
      </c>
    </row>
    <row r="7" spans="2:8" x14ac:dyDescent="0.3">
      <c r="B7" s="4" t="s">
        <v>49</v>
      </c>
      <c r="C7" s="11">
        <v>10</v>
      </c>
      <c r="D7" s="11">
        <v>12</v>
      </c>
      <c r="E7" s="16" t="str">
        <f>IF(C7&gt;D7,"Exceeded","OK")</f>
        <v>OK</v>
      </c>
    </row>
    <row r="8" spans="2:8" x14ac:dyDescent="0.3">
      <c r="B8" s="4" t="s">
        <v>50</v>
      </c>
      <c r="C8" s="11">
        <v>10</v>
      </c>
      <c r="D8" s="11">
        <v>15</v>
      </c>
      <c r="E8" s="16" t="str">
        <f t="shared" ref="E8:E9" si="0">IF(C8&gt;D8,"Exceeded","OK")</f>
        <v>OK</v>
      </c>
    </row>
    <row r="9" spans="2:8" x14ac:dyDescent="0.3">
      <c r="B9" s="4" t="s">
        <v>51</v>
      </c>
      <c r="C9" s="11">
        <v>8</v>
      </c>
      <c r="D9" s="11">
        <v>12</v>
      </c>
      <c r="E9" s="16" t="str">
        <f t="shared" si="0"/>
        <v>OK</v>
      </c>
    </row>
  </sheetData>
  <mergeCells count="1">
    <mergeCell ref="B2: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F13E-9952-4CB5-AF1F-C0C1491ECAD8}">
  <dimension ref="B2:G10"/>
  <sheetViews>
    <sheetView workbookViewId="0">
      <selection activeCell="G24" sqref="G24"/>
    </sheetView>
  </sheetViews>
  <sheetFormatPr defaultRowHeight="14.4" x14ac:dyDescent="0.3"/>
  <cols>
    <col min="7" max="7" width="11.88671875" customWidth="1"/>
  </cols>
  <sheetData>
    <row r="2" spans="2:7" x14ac:dyDescent="0.3">
      <c r="B2" s="27" t="s">
        <v>52</v>
      </c>
      <c r="C2" s="27"/>
      <c r="D2" s="27"/>
      <c r="E2" s="27"/>
      <c r="F2" s="27"/>
      <c r="G2" s="27"/>
    </row>
    <row r="4" spans="2:7" x14ac:dyDescent="0.3">
      <c r="B4" s="2" t="s">
        <v>24</v>
      </c>
      <c r="C4" s="2" t="s">
        <v>53</v>
      </c>
      <c r="D4" s="20" t="s">
        <v>3</v>
      </c>
    </row>
    <row r="5" spans="2:7" x14ac:dyDescent="0.3">
      <c r="B5" t="s">
        <v>34</v>
      </c>
      <c r="C5" s="1">
        <v>55000</v>
      </c>
      <c r="D5" s="15">
        <f>INDEX(C5:C8,MATCH(B6,B5:B8))</f>
        <v>72000</v>
      </c>
    </row>
    <row r="6" spans="2:7" x14ac:dyDescent="0.3">
      <c r="B6" t="s">
        <v>54</v>
      </c>
      <c r="C6" s="1">
        <v>72000</v>
      </c>
    </row>
    <row r="7" spans="2:7" x14ac:dyDescent="0.3">
      <c r="B7" t="s">
        <v>55</v>
      </c>
      <c r="C7" s="1">
        <v>62000</v>
      </c>
    </row>
    <row r="8" spans="2:7" x14ac:dyDescent="0.3">
      <c r="B8" t="s">
        <v>29</v>
      </c>
      <c r="C8" s="1">
        <v>41000</v>
      </c>
    </row>
    <row r="10" spans="2:7" x14ac:dyDescent="0.3">
      <c r="B10" s="27" t="s">
        <v>56</v>
      </c>
      <c r="C10" s="27"/>
      <c r="D10" s="27"/>
      <c r="E10" s="27"/>
    </row>
  </sheetData>
  <mergeCells count="2">
    <mergeCell ref="B2:G2"/>
    <mergeCell ref="B10:E10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3D10-AF1A-4755-85D1-4D25F1192299}">
  <dimension ref="B2:G11"/>
  <sheetViews>
    <sheetView workbookViewId="0">
      <selection activeCell="F16" sqref="F16"/>
    </sheetView>
  </sheetViews>
  <sheetFormatPr defaultRowHeight="14.4" x14ac:dyDescent="0.3"/>
  <cols>
    <col min="3" max="3" width="10.6640625" bestFit="1" customWidth="1"/>
  </cols>
  <sheetData>
    <row r="2" spans="2:7" x14ac:dyDescent="0.3">
      <c r="B2" s="28" t="s">
        <v>57</v>
      </c>
      <c r="C2" s="28"/>
      <c r="D2" s="28"/>
      <c r="E2" s="28"/>
      <c r="F2" s="28"/>
      <c r="G2" s="28"/>
    </row>
    <row r="3" spans="2:7" x14ac:dyDescent="0.3">
      <c r="B3" s="28"/>
      <c r="C3" s="28"/>
      <c r="D3" s="28"/>
      <c r="E3" s="28"/>
      <c r="F3" s="28"/>
      <c r="G3" s="28"/>
    </row>
    <row r="5" spans="2:7" x14ac:dyDescent="0.3">
      <c r="B5" s="21" t="s">
        <v>24</v>
      </c>
      <c r="C5" s="2" t="s">
        <v>26</v>
      </c>
      <c r="D5" s="20" t="s">
        <v>3</v>
      </c>
    </row>
    <row r="6" spans="2:7" x14ac:dyDescent="0.3">
      <c r="B6" s="1" t="s">
        <v>27</v>
      </c>
      <c r="C6" s="1" t="s">
        <v>30</v>
      </c>
      <c r="D6" s="15" t="str">
        <f>_xlfn.XLOOKUP("E303",B6:B9,C6:C9)</f>
        <v>IT</v>
      </c>
    </row>
    <row r="7" spans="2:7" x14ac:dyDescent="0.3">
      <c r="B7" s="1" t="s">
        <v>58</v>
      </c>
      <c r="C7" s="1" t="s">
        <v>28</v>
      </c>
    </row>
    <row r="8" spans="2:7" x14ac:dyDescent="0.3">
      <c r="B8" s="1" t="s">
        <v>55</v>
      </c>
      <c r="C8" s="1" t="s">
        <v>11</v>
      </c>
    </row>
    <row r="9" spans="2:7" x14ac:dyDescent="0.3">
      <c r="B9" s="1" t="s">
        <v>59</v>
      </c>
      <c r="C9" s="1" t="s">
        <v>33</v>
      </c>
    </row>
    <row r="11" spans="2:7" x14ac:dyDescent="0.3">
      <c r="B11" s="6" t="s">
        <v>36</v>
      </c>
      <c r="C11" s="27" t="s">
        <v>60</v>
      </c>
      <c r="D11" s="27"/>
      <c r="E11" s="27"/>
    </row>
  </sheetData>
  <mergeCells count="2">
    <mergeCell ref="B2:G3"/>
    <mergeCell ref="C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Ans.1</vt:lpstr>
      <vt:lpstr>Ans.2</vt:lpstr>
      <vt:lpstr>Ans.3</vt:lpstr>
      <vt:lpstr>Ans.4</vt:lpstr>
      <vt:lpstr>Ans.5</vt:lpstr>
      <vt:lpstr>Ans.6</vt:lpstr>
      <vt:lpstr>Ans.7</vt:lpstr>
      <vt:lpstr>Ans.8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kumar</dc:creator>
  <cp:keywords/>
  <dc:description/>
  <cp:lastModifiedBy>Shivangi kumari</cp:lastModifiedBy>
  <cp:revision/>
  <dcterms:created xsi:type="dcterms:W3CDTF">2025-10-31T01:41:05Z</dcterms:created>
  <dcterms:modified xsi:type="dcterms:W3CDTF">2025-12-18T07:10:22Z</dcterms:modified>
  <cp:category/>
  <cp:contentStatus/>
</cp:coreProperties>
</file>